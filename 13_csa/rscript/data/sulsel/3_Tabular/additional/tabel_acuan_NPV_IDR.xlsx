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.sharepoint.com/sites/ResearchGroup2/Shared Documents/LUMENS/Events/20250923_Training_SCIENDO_Sulsel/Data/"/>
    </mc:Choice>
  </mc:AlternateContent>
  <xr:revisionPtr revIDLastSave="73" documentId="8_{12043189-A721-4892-85A1-598E7884EB5F}" xr6:coauthVersionLast="47" xr6:coauthVersionMax="47" xr10:uidLastSave="{B6A704EE-0ABD-42CB-B596-2FB39390BAEA}"/>
  <bookViews>
    <workbookView xWindow="-108" yWindow="-108" windowWidth="23256" windowHeight="12456" activeTab="1" xr2:uid="{0757F20F-2402-48D7-B01A-C04187E63D69}"/>
  </bookViews>
  <sheets>
    <sheet name="Tabel Acuan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0"/>
</workbook>
</file>

<file path=xl/calcChain.xml><?xml version="1.0" encoding="utf-8"?>
<calcChain xmlns="http://schemas.openxmlformats.org/spreadsheetml/2006/main">
  <c r="F47" i="2" l="1"/>
  <c r="F46" i="2"/>
  <c r="H45" i="2"/>
  <c r="G45" i="2"/>
  <c r="F45" i="2"/>
  <c r="E45" i="2"/>
  <c r="D45" i="2"/>
  <c r="H42" i="2"/>
  <c r="G42" i="2"/>
  <c r="E42" i="2"/>
  <c r="D42" i="2"/>
  <c r="H39" i="2"/>
  <c r="G39" i="2"/>
  <c r="F39" i="2"/>
  <c r="E39" i="2"/>
  <c r="D39" i="2"/>
  <c r="H35" i="2"/>
  <c r="G35" i="2"/>
  <c r="E35" i="2"/>
  <c r="D35" i="2"/>
  <c r="I34" i="2"/>
  <c r="H34" i="2"/>
  <c r="G34" i="2"/>
  <c r="E34" i="2"/>
  <c r="D34" i="2"/>
  <c r="H33" i="2"/>
  <c r="G33" i="2"/>
  <c r="E33" i="2"/>
  <c r="D33" i="2"/>
  <c r="H28" i="2"/>
  <c r="G28" i="2"/>
  <c r="F28" i="2"/>
  <c r="E28" i="2"/>
  <c r="D28" i="2"/>
  <c r="H27" i="2"/>
  <c r="G27" i="2"/>
  <c r="F27" i="2"/>
  <c r="E27" i="2"/>
  <c r="D27" i="2"/>
  <c r="H22" i="2"/>
  <c r="G22" i="2"/>
  <c r="E22" i="2"/>
  <c r="D22" i="2"/>
  <c r="H18" i="2"/>
  <c r="G18" i="2"/>
  <c r="F18" i="2"/>
  <c r="E18" i="2"/>
  <c r="D18" i="2"/>
  <c r="I16" i="2"/>
  <c r="H16" i="2"/>
  <c r="G16" i="2"/>
  <c r="E16" i="2"/>
  <c r="D16" i="2"/>
  <c r="I10" i="2"/>
  <c r="H10" i="2"/>
  <c r="G10" i="2"/>
  <c r="F10" i="2"/>
  <c r="E10" i="2"/>
  <c r="D10" i="2"/>
  <c r="I9" i="2"/>
  <c r="H9" i="2"/>
  <c r="G9" i="2"/>
  <c r="E9" i="2"/>
  <c r="D9" i="2"/>
  <c r="I8" i="2"/>
  <c r="H8" i="2"/>
  <c r="G8" i="2"/>
  <c r="F8" i="2"/>
  <c r="E8" i="2"/>
  <c r="D8" i="2"/>
  <c r="I7" i="2"/>
  <c r="H7" i="2"/>
  <c r="G7" i="2"/>
  <c r="E7" i="2"/>
  <c r="D7" i="2"/>
  <c r="I6" i="2"/>
  <c r="H6" i="2"/>
  <c r="G6" i="2"/>
  <c r="E6" i="2"/>
  <c r="D6" i="2"/>
  <c r="H5" i="2"/>
  <c r="G5" i="2"/>
  <c r="E5" i="2"/>
  <c r="D5" i="2"/>
  <c r="H4" i="2"/>
  <c r="G4" i="2"/>
  <c r="E4" i="2"/>
  <c r="D4" i="2"/>
  <c r="H3" i="2"/>
  <c r="G3" i="2"/>
  <c r="F3" i="2"/>
  <c r="E3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tc={6D1C6D79-42C7-4997-B07A-4BF43574D8CB}</author>
    <author>Adzani, Thifali   (ICRAF)</author>
  </authors>
  <commentList>
    <comment ref="B1" authorId="0" shapeId="0" xr:uid="{6D1C6D79-42C7-4997-B07A-4BF43574D8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@Benita, Tania tan ada disini ya yang BAU nya. Kalau GAP, ada di kolom sampingnya</t>
      </text>
    </comment>
    <comment ref="F3" authorId="1" shapeId="0" xr:uid="{1B021F9B-DE6C-4232-9538-E40C1985CF12}">
      <text>
        <r>
          <rPr>
            <b/>
            <sz val="9"/>
            <color indexed="81"/>
            <rFont val="Tahoma"/>
            <family val="2"/>
          </rPr>
          <t>Adzani, Thifali   (ICRAF):</t>
        </r>
        <r>
          <rPr>
            <sz val="9"/>
            <color indexed="81"/>
            <rFont val="Tahoma"/>
            <family val="2"/>
          </rPr>
          <t xml:space="preserve">
cengkeh agroforestry
</t>
        </r>
      </text>
    </comment>
  </commentList>
</comments>
</file>

<file path=xl/sharedStrings.xml><?xml version="1.0" encoding="utf-8"?>
<sst xmlns="http://schemas.openxmlformats.org/spreadsheetml/2006/main" count="195" uniqueCount="100">
  <si>
    <t>ID</t>
  </si>
  <si>
    <t>LC</t>
  </si>
  <si>
    <t>NPV</t>
  </si>
  <si>
    <t>No data</t>
  </si>
  <si>
    <t>Hutan</t>
  </si>
  <si>
    <t>Perkebunan</t>
  </si>
  <si>
    <t>Agroforestri</t>
  </si>
  <si>
    <t>Belukar, padang rumput, dan lahan terbuka</t>
  </si>
  <si>
    <t>Pertanian</t>
  </si>
  <si>
    <t>Permukiman</t>
  </si>
  <si>
    <t>Badan air</t>
  </si>
  <si>
    <t>Land Cover</t>
  </si>
  <si>
    <t>Main Product</t>
  </si>
  <si>
    <t>Return to Land</t>
  </si>
  <si>
    <t>Return to Labor (Rp/HOK)</t>
  </si>
  <si>
    <t>Siklus tanam (tahun)</t>
  </si>
  <si>
    <t>NPV (Rp/ha)</t>
  </si>
  <si>
    <t>NPV (USD/ha)
1 USD : RP15.200</t>
  </si>
  <si>
    <t>GGP 2012 Sebelumnya</t>
  </si>
  <si>
    <t>EAE (Rp/ha/tahun)</t>
  </si>
  <si>
    <t>Cengkeh monokultur</t>
  </si>
  <si>
    <t>Cengkeh kering (kg/ha)</t>
  </si>
  <si>
    <t>Jagung monokultur</t>
  </si>
  <si>
    <t>Jagung pakan pipil kering (kg/ha)</t>
  </si>
  <si>
    <t>Jati Monokultur</t>
  </si>
  <si>
    <t>Jati (m3/ha)</t>
  </si>
  <si>
    <t>Jambu mete monokultur</t>
  </si>
  <si>
    <t>Mete gelondongan (kg/ha)</t>
  </si>
  <si>
    <t>Tebu</t>
  </si>
  <si>
    <t>Batang tebu (ikat/ha)</t>
  </si>
  <si>
    <t>Karet monokultur</t>
  </si>
  <si>
    <t>Getah karet (kg/ha)</t>
  </si>
  <si>
    <t>Sagu</t>
  </si>
  <si>
    <t>Pati sagu (kg/ha</t>
  </si>
  <si>
    <t>Kopi Agroforestri: Kopi - Jagung - Cengkeh - Pala</t>
  </si>
  <si>
    <t>Green bean</t>
  </si>
  <si>
    <t>Pala</t>
  </si>
  <si>
    <t>Kelapa sawit monokultur</t>
  </si>
  <si>
    <t>TBS (kg/ha)</t>
  </si>
  <si>
    <t>Pinus monokultur</t>
  </si>
  <si>
    <t>Getah pinus (kg/ha)</t>
  </si>
  <si>
    <t>Kebun Campur 1: AF Kakao-Cengkeh-Pisang-Kelapa</t>
  </si>
  <si>
    <t>Biji kering (kg/ha)</t>
  </si>
  <si>
    <t>Pisang (tandan/ha)</t>
  </si>
  <si>
    <t>Buah kelapa (butir/ha)</t>
  </si>
  <si>
    <t>Kebun Campur 2: AF Kelapa-Durian-Alpukat</t>
  </si>
  <si>
    <t>Buah durian kecil (buah/ha)</t>
  </si>
  <si>
    <t>Buah durian sedang (buah/ha)</t>
  </si>
  <si>
    <t>Buah durian besar (buah/ha)</t>
  </si>
  <si>
    <t>Buah alpukat (kg/ha)</t>
  </si>
  <si>
    <t>Sawah</t>
  </si>
  <si>
    <t>Gabah kering giling (kg/ha)</t>
  </si>
  <si>
    <t>Kakao Agroforest (durian+pisang)</t>
  </si>
  <si>
    <t>Kakao monokultur</t>
  </si>
  <si>
    <t>Kemiri monokultur</t>
  </si>
  <si>
    <t>Kemiri</t>
  </si>
  <si>
    <t>Tambak</t>
  </si>
  <si>
    <t>rumput laut (kg/ha)</t>
  </si>
  <si>
    <t>kepiting (ekor/ha)</t>
  </si>
  <si>
    <t>bandeng (ekor/ha)</t>
  </si>
  <si>
    <t>udang (kg/ha)</t>
  </si>
  <si>
    <t>Kelapa Agroforest : Kelapa, Kakao -Jagung</t>
  </si>
  <si>
    <t>Biji kakao kering</t>
  </si>
  <si>
    <t>Pertanian Lahan Kering</t>
  </si>
  <si>
    <t>Kacang Tanah</t>
  </si>
  <si>
    <t>Cabai Rawit</t>
  </si>
  <si>
    <t>Bawang Merah</t>
  </si>
  <si>
    <t>Padang Rumpt (Ternak)</t>
  </si>
  <si>
    <t>Sapi</t>
  </si>
  <si>
    <t>Other crop</t>
  </si>
  <si>
    <t>tidak ada di tuplah 2024</t>
  </si>
  <si>
    <t>Randu agroforest</t>
  </si>
  <si>
    <t>Kakao-Coffee Agroforest</t>
  </si>
  <si>
    <t>SUT</t>
  </si>
  <si>
    <t>SKENARIO</t>
  </si>
  <si>
    <t>Kelapa mono</t>
  </si>
  <si>
    <t>BAU</t>
  </si>
  <si>
    <t>GAP</t>
  </si>
  <si>
    <t>Kakao mono</t>
  </si>
  <si>
    <t>Kakao AF + durian + pisang</t>
  </si>
  <si>
    <t>Kelapa Af + kakao + jagung</t>
  </si>
  <si>
    <t>Sawah Irigasi</t>
  </si>
  <si>
    <t>GAP (Cerdas iklim dan rendah emisi)</t>
  </si>
  <si>
    <t>Rumput laut</t>
  </si>
  <si>
    <t>terintergrasi</t>
  </si>
  <si>
    <t>Jagung</t>
  </si>
  <si>
    <t>Mete</t>
  </si>
  <si>
    <t>Cengkeh</t>
  </si>
  <si>
    <t>Kopi Mono</t>
  </si>
  <si>
    <t>Kopi AF + cengkeh + pala + jagung</t>
  </si>
  <si>
    <t>Kopi AF + Kakao</t>
  </si>
  <si>
    <t>Kelapa Sawit</t>
  </si>
  <si>
    <t>PS</t>
  </si>
  <si>
    <t>Hutan Tanaman Industri</t>
  </si>
  <si>
    <t>Pinus (dari MP)</t>
  </si>
  <si>
    <t>Jati</t>
  </si>
  <si>
    <t>Karet</t>
  </si>
  <si>
    <t>Ternak (Padang Rumput) (Dari MP)</t>
  </si>
  <si>
    <t>Badan Air</t>
  </si>
  <si>
    <t>Kelompok Kelas LUMENS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</si>
</sst>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left" vertical="center" wrapText="1"/>
    </xf>
    <xf numFmtId="0" fontId="19" fillId="35" borderId="10" xfId="0" applyFont="1" applyFill="1" applyBorder="1" applyAlignment="1">
      <alignment vertical="center" wrapText="1"/>
    </xf>
    <xf numFmtId="38" fontId="0" fillId="35" borderId="10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0" fillId="35" borderId="10" xfId="0" applyFont="1" applyFill="1" applyBorder="1" applyAlignment="1">
      <alignment horizontal="left" vertical="center" wrapText="1"/>
    </xf>
    <xf numFmtId="38" fontId="0" fillId="0" borderId="10" xfId="0" applyNumberFormat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left" vertical="center" wrapText="1"/>
    </xf>
    <xf numFmtId="38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19" fillId="36" borderId="10" xfId="0" applyFont="1" applyFill="1" applyBorder="1" applyAlignment="1">
      <alignment horizontal="left" vertical="center" wrapText="1"/>
    </xf>
    <xf numFmtId="0" fontId="19" fillId="36" borderId="10" xfId="0" applyFont="1" applyFill="1" applyBorder="1" applyAlignment="1">
      <alignment vertical="center" wrapText="1"/>
    </xf>
    <xf numFmtId="38" fontId="0" fillId="36" borderId="10" xfId="0" applyNumberForma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left" vertical="center" wrapText="1"/>
    </xf>
    <xf numFmtId="165" fontId="0" fillId="0" borderId="10" xfId="1" applyNumberFormat="1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165" fontId="0" fillId="0" borderId="10" xfId="1" applyNumberFormat="1" applyFont="1" applyBorder="1" applyAlignment="1">
      <alignment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wrapText="1"/>
    </xf>
    <xf numFmtId="38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0" fillId="36" borderId="10" xfId="0" applyFont="1" applyFill="1" applyBorder="1" applyAlignment="1">
      <alignment horizontal="left" wrapText="1"/>
    </xf>
    <xf numFmtId="0" fontId="20" fillId="36" borderId="10" xfId="0" applyFont="1" applyFill="1" applyBorder="1" applyAlignment="1">
      <alignment wrapText="1"/>
    </xf>
    <xf numFmtId="38" fontId="0" fillId="36" borderId="11" xfId="0" applyNumberFormat="1" applyFill="1" applyBorder="1" applyAlignment="1">
      <alignment wrapText="1"/>
    </xf>
    <xf numFmtId="165" fontId="0" fillId="36" borderId="11" xfId="1" applyNumberFormat="1" applyFont="1" applyFill="1" applyBorder="1" applyAlignment="1">
      <alignment wrapText="1"/>
    </xf>
    <xf numFmtId="0" fontId="0" fillId="36" borderId="11" xfId="0" applyFill="1" applyBorder="1" applyAlignment="1">
      <alignment horizontal="center" vertical="center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16" fillId="36" borderId="10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C89F34F6-3E4C-4E49-8DB7-D5D8C0067C3A}">
    <Anchor>
      <Comment id="{6D1C6D79-42C7-4997-B07A-4BF43574D8CB}"/>
    </Anchor>
    <History>
      <Event time="2025-09-08T08:09:08.17" id="{F2E8C066-AE9E-4903-840E-11E21AEF8B90}">
        <Attribution userId="S::T.Adzani@cifor-icraf.org::4e851211-278f-40ae-b96d-632aab0584b1" userName="Adzani, Thifali" userProvider="AD"/>
        <Anchor>
          <Comment id="{6D1C6D79-42C7-4997-B07A-4BF43574D8CB}"/>
        </Anchor>
        <Create/>
      </Event>
      <Event time="2025-09-08T08:09:08.17" id="{CC170D51-6D4E-46EF-86C6-F34F64036892}">
        <Attribution userId="S::T.Adzani@cifor-icraf.org::4e851211-278f-40ae-b96d-632aab0584b1" userName="Adzani, Thifali" userProvider="AD"/>
        <Anchor>
          <Comment id="{6D1C6D79-42C7-4997-B07A-4BF43574D8CB}"/>
        </Anchor>
        <Assign userId="S::T.Benita@cifor-icraf.org::e6c92d99-8c1d-4fde-b1e5-0dc5f23e1279" userName="Benita, Tania" userProvider="AD"/>
      </Event>
      <Event time="2025-09-08T08:09:08.17" id="{E205888E-76E7-4A97-AEDA-E96C03FCBEBB}">
        <Attribution userId="S::T.Adzani@cifor-icraf.org::4e851211-278f-40ae-b96d-632aab0584b1" userName="Adzani, Thifali" userProvider="AD"/>
        <Anchor>
          <Comment id="{6D1C6D79-42C7-4997-B07A-4BF43574D8CB}"/>
        </Anchor>
        <SetTitle title="@Benita, Tania tan ada disini ya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-my.sharepoint.com/personal/n_nafsiyah_cifor-icraf_org/Documents/Documents/Profit_cengkeh%20monokultur%20GAP%20.xlsx" TargetMode="External"/><Relationship Id="rId1" Type="http://schemas.openxmlformats.org/officeDocument/2006/relationships/externalLinkPath" Target="https://icrafcifor-my.sharepoint.com/personal/n_nafsiyah_cifor-icraf_org/Documents/Documents/Profit_cengkeh%20monokultur%20GAP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CRAFIndonesia_4800d/Shared%20Documents/1.8.%20Land4Lives/7_WP1/Analisis%20NPV%20untuk%20GGP/NPV_3Prov_L4L_GG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Jagung%20Monokultur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Jagung%20Monokultu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%20Jati%20Monokultur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%20Jati%20Monokultu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Jambu%20Mete%20Monokultur_4%20Des2024_30%20tahun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Jambu%20Mete%20Monokultur_4%20Des2024_30%20tahu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nd4Live\Profitability\Data%20Profit%20L4L%20Sulsel\PAM\Profit_GAP%20Jambu%20Mete%20Monokultur.xlsx" TargetMode="External"/><Relationship Id="rId1" Type="http://schemas.openxmlformats.org/officeDocument/2006/relationships/externalLinkPath" Target="file:///D:\Land4Live\Profitability\Data%20Profit%20L4L%20Sulsel\PAM\Profit_GAP%20Jambu%20Mete%20Monokultur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Tebu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Teb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aret%20Mono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aret%20Mon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Sagu%20Mono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Sagu%20Mono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opi%20AF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opi%20AF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elapa%20Sawit%20Mono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elapa%20Sawit%20Mono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ebun%20Campur%201%20(kakao+kelapa+cengkeh+pisang)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ebun%20Campur%201%20(kakao+kelapa+cengkeh+pisang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elapa%20Monokultur_BAU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elapa%20Monokultur_BAU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padi_1%20tahun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padi_1%20tahu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akao%20AF%20(+durian+pisang)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akao%20AF%20(+durian+pisang)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akao%20mono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akao%20mono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emiri_BAU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emiri_BAU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tambak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tamba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kelapa%20AF%20(+kakao+jagung)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kelapa%20AF%20(+kakao+jagung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Pertanian%20Lahan%20Kering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Pertanian%20Lahan%20Kering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rafcifor.sharepoint.com/sites/ICRAFIndonesia_4800d/Shared%20Documents/1.8.%20Land4Lives/7_WP1/Analisis%20NPV%20untuk%20GGP/Analisis-Sulsel/Analisis%20profit/Profit_Sulsel_Ternak%20Sapi.xlsx" TargetMode="External"/><Relationship Id="rId1" Type="http://schemas.openxmlformats.org/officeDocument/2006/relationships/externalLinkPath" Target="/sites/ICRAFIndonesia_4800d/Shared%20Documents/1.8.%20Land4Lives/7_WP1/Analisis%20NPV%20untuk%20GGP/Analisis-Sulsel/Analisis%20profit/Profit_Sulsel_Ternak%20Sa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  <sheetName val="Sheet2"/>
      <sheetName val="Tenaga Kerja"/>
      <sheetName val="Input Cengkeh"/>
      <sheetName val="Sheet1"/>
      <sheetName val="Desain kebun"/>
    </sheetNames>
    <sheetDataSet>
      <sheetData sheetId="0" refreshError="1">
        <row r="10">
          <cell r="G10">
            <v>137417707.58338425</v>
          </cell>
        </row>
        <row r="11">
          <cell r="G11">
            <v>9040.6386568015951</v>
          </cell>
        </row>
        <row r="12">
          <cell r="G12">
            <v>11297313.91114871</v>
          </cell>
        </row>
        <row r="13">
          <cell r="G13">
            <v>218795.82346161231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ulsel"/>
      <sheetName val="2NTT"/>
      <sheetName val="3Sumsel"/>
      <sheetName val="Sulsel"/>
      <sheetName val="Sultra 2016"/>
      <sheetName val="Sumsel 2017"/>
      <sheetName val="Jambi"/>
      <sheetName val="Papua"/>
      <sheetName val="Pelalawan (riau)"/>
      <sheetName val="Jateng"/>
    </sheetNames>
    <sheetDataSet>
      <sheetData sheetId="0"/>
      <sheetData sheetId="1"/>
      <sheetData sheetId="2"/>
      <sheetData sheetId="3">
        <row r="2">
          <cell r="D2">
            <v>10188</v>
          </cell>
        </row>
        <row r="3">
          <cell r="D3">
            <v>6233</v>
          </cell>
        </row>
        <row r="6">
          <cell r="D6">
            <v>36459</v>
          </cell>
        </row>
        <row r="7">
          <cell r="D7">
            <v>953</v>
          </cell>
        </row>
        <row r="8">
          <cell r="D8">
            <v>10506</v>
          </cell>
        </row>
        <row r="10">
          <cell r="D10">
            <v>20355</v>
          </cell>
        </row>
        <row r="13">
          <cell r="D13">
            <v>17136</v>
          </cell>
        </row>
        <row r="14">
          <cell r="D14">
            <v>1947</v>
          </cell>
        </row>
        <row r="15">
          <cell r="D15">
            <v>10188</v>
          </cell>
        </row>
        <row r="17">
          <cell r="D17">
            <v>5946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infografis"/>
      <sheetName val="Price (harga)"/>
      <sheetName val="I-O (kuantitas)"/>
      <sheetName val="Budget"/>
      <sheetName val="Desain kebun"/>
    </sheetNames>
    <sheetDataSet>
      <sheetData sheetId="0">
        <row r="10">
          <cell r="G10">
            <v>49619988.377028964</v>
          </cell>
        </row>
        <row r="11">
          <cell r="G11">
            <v>3264.4729195413793</v>
          </cell>
        </row>
        <row r="12">
          <cell r="G12">
            <v>12166730.264785189</v>
          </cell>
        </row>
        <row r="13">
          <cell r="G13">
            <v>200564.99356499355</v>
          </cell>
        </row>
      </sheetData>
      <sheetData sheetId="1">
        <row r="70">
          <cell r="C70">
            <v>0.92500000000000004</v>
          </cell>
        </row>
      </sheetData>
      <sheetData sheetId="2"/>
      <sheetData sheetId="3"/>
      <sheetData sheetId="4">
        <row r="66">
          <cell r="C66">
            <v>11840</v>
          </cell>
        </row>
      </sheetData>
      <sheetData sheetId="5">
        <row r="78">
          <cell r="C78">
            <v>2420708.9552238802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  <sheetName val="Desain kebun"/>
    </sheetNames>
    <sheetDataSet>
      <sheetData sheetId="0">
        <row r="10">
          <cell r="G10">
            <v>88302049.910240561</v>
          </cell>
        </row>
        <row r="11">
          <cell r="G11">
            <v>5809.3453888316162</v>
          </cell>
        </row>
        <row r="12">
          <cell r="G12">
            <v>7259442.7194077978</v>
          </cell>
        </row>
        <row r="13">
          <cell r="G13">
            <v>649894.0397350993</v>
          </cell>
        </row>
      </sheetData>
      <sheetData sheetId="1"/>
      <sheetData sheetId="2"/>
      <sheetData sheetId="3">
        <row r="66">
          <cell r="L66">
            <v>149.4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Prod Sulsel"/>
      <sheetName val="I-O (kuantitas)"/>
      <sheetName val="Budget"/>
      <sheetName val="30 tahun Row Merah_NN"/>
      <sheetName val="Budget 40 Tahun_NN"/>
      <sheetName val="Budget 30 Tahun_NN"/>
    </sheetNames>
    <sheetDataSet>
      <sheetData sheetId="0">
        <row r="11">
          <cell r="G11">
            <v>4910.8717059929068</v>
          </cell>
        </row>
        <row r="12">
          <cell r="G12">
            <v>5729539.71935667</v>
          </cell>
        </row>
        <row r="13">
          <cell r="G13">
            <v>171444.76372924648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81">
          <cell r="B81">
            <v>38426196.263514198</v>
          </cell>
        </row>
      </sheetData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Prod Sulsel"/>
      <sheetName val="I-O (kuantitas)"/>
      <sheetName val="Budget"/>
      <sheetName val="30 tahun Row Merah_NN"/>
      <sheetName val="Budget 40 Tahun_NN"/>
      <sheetName val="Budget 30 Tahun_NN"/>
    </sheetNames>
    <sheetDataSet>
      <sheetData sheetId="0" refreshError="1">
        <row r="7">
          <cell r="C7">
            <v>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nput "/>
      <sheetName val="I-O (kuantitas)"/>
      <sheetName val="Budget"/>
      <sheetName val="TK"/>
      <sheetName val="Budget Tebu batang"/>
      <sheetName val="Desain kebun"/>
    </sheetNames>
    <sheetDataSet>
      <sheetData sheetId="0">
        <row r="7">
          <cell r="C7">
            <v>10</v>
          </cell>
        </row>
        <row r="11">
          <cell r="G11">
            <v>2704.7990575813474</v>
          </cell>
        </row>
        <row r="12">
          <cell r="G12">
            <v>5907791.5639600344</v>
          </cell>
        </row>
        <row r="13">
          <cell r="G13">
            <v>145696.09362336935</v>
          </cell>
        </row>
      </sheetData>
      <sheetData sheetId="1"/>
      <sheetData sheetId="2"/>
      <sheetData sheetId="3"/>
      <sheetData sheetId="4"/>
      <sheetData sheetId="5">
        <row r="81">
          <cell r="B81">
            <v>41112945.675236478</v>
          </cell>
        </row>
      </sheetData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I-O (kuantitas)"/>
      <sheetName val="Budget"/>
      <sheetName val="Tenaga Kerja"/>
      <sheetName val="Input Karet"/>
    </sheetNames>
    <sheetDataSet>
      <sheetData sheetId="0">
        <row r="10">
          <cell r="C10">
            <v>30</v>
          </cell>
        </row>
        <row r="14">
          <cell r="G14">
            <v>27804359.410310242</v>
          </cell>
        </row>
        <row r="15">
          <cell r="G15">
            <v>1829.2341717309371</v>
          </cell>
        </row>
        <row r="16">
          <cell r="G16">
            <v>2285837.6979260379</v>
          </cell>
        </row>
        <row r="18">
          <cell r="G18">
            <v>194054.60661508501</v>
          </cell>
        </row>
      </sheetData>
      <sheetData sheetId="1"/>
      <sheetData sheetId="2">
        <row r="49">
          <cell r="B49">
            <v>2754.5776823529409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I-O (kuantitas)"/>
      <sheetName val="Budget"/>
      <sheetName val="Tenaga Kerja"/>
      <sheetName val="Input Sagu"/>
    </sheetNames>
    <sheetDataSet>
      <sheetData sheetId="0">
        <row r="10">
          <cell r="C10">
            <v>12</v>
          </cell>
        </row>
        <row r="14">
          <cell r="G14">
            <v>21433423.12935967</v>
          </cell>
        </row>
        <row r="15">
          <cell r="G15">
            <v>1410.0936269315573</v>
          </cell>
        </row>
        <row r="16">
          <cell r="G16">
            <v>2727345.6727482486</v>
          </cell>
        </row>
        <row r="18">
          <cell r="G18">
            <v>123826.15546218488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I-O (kuantitas)"/>
      <sheetName val="Budget"/>
      <sheetName val="Tenaga Kerja"/>
      <sheetName val="Input Kopi"/>
      <sheetName val="Input Cengkeh"/>
      <sheetName val="Input Pala"/>
      <sheetName val="Input Jagung"/>
    </sheetNames>
    <sheetDataSet>
      <sheetData sheetId="0">
        <row r="10">
          <cell r="C10">
            <v>30</v>
          </cell>
        </row>
        <row r="14">
          <cell r="G14">
            <v>73131744.176467031</v>
          </cell>
        </row>
        <row r="15">
          <cell r="G15">
            <v>4811.2989589780946</v>
          </cell>
        </row>
        <row r="16">
          <cell r="G16">
            <v>6012269.345492037</v>
          </cell>
        </row>
        <row r="18">
          <cell r="G18">
            <v>189105.54889815583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I-O (kuantitas)"/>
      <sheetName val="Budget"/>
      <sheetName val="Sheet1"/>
      <sheetName val="Tenaga Kerja"/>
      <sheetName val="Input Kelapa Sawit"/>
    </sheetNames>
    <sheetDataSet>
      <sheetData sheetId="0">
        <row r="10">
          <cell r="C10">
            <v>25</v>
          </cell>
        </row>
        <row r="14">
          <cell r="G14">
            <v>131741082.76483977</v>
          </cell>
        </row>
        <row r="15">
          <cell r="G15">
            <v>8667.1764976868271</v>
          </cell>
        </row>
        <row r="16">
          <cell r="G16">
            <v>11509193.723256232</v>
          </cell>
        </row>
        <row r="18">
          <cell r="G18">
            <v>311324.67044210708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</sheetNames>
    <sheetDataSet>
      <sheetData sheetId="0">
        <row r="11">
          <cell r="G11">
            <v>73900386.578802451</v>
          </cell>
        </row>
        <row r="12">
          <cell r="G12">
            <v>4861.8675380791083</v>
          </cell>
        </row>
        <row r="13">
          <cell r="G13">
            <v>6456101.9805581886</v>
          </cell>
        </row>
        <row r="15">
          <cell r="G15">
            <v>163856.88465492663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  <sheetName val="Production"/>
    </sheetNames>
    <sheetDataSet>
      <sheetData sheetId="0">
        <row r="11">
          <cell r="G11">
            <v>70008312.048653722</v>
          </cell>
        </row>
        <row r="12">
          <cell r="G12">
            <v>272750.35104660381</v>
          </cell>
        </row>
        <row r="21">
          <cell r="G21">
            <v>4605.8100032009024</v>
          </cell>
        </row>
        <row r="25">
          <cell r="G25">
            <v>5755487.3495715875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"/>
      <sheetName val="Asumsi"/>
      <sheetName val="Price (Harga)"/>
      <sheetName val="I-O (Kuantitas)"/>
      <sheetName val="Budget"/>
      <sheetName val="infografis"/>
      <sheetName val="TK"/>
    </sheetNames>
    <sheetDataSet>
      <sheetData sheetId="0">
        <row r="16">
          <cell r="G16">
            <v>34868000</v>
          </cell>
        </row>
      </sheetData>
      <sheetData sheetId="1"/>
      <sheetData sheetId="2"/>
      <sheetData sheetId="3">
        <row r="63">
          <cell r="C63">
            <v>241</v>
          </cell>
        </row>
      </sheetData>
      <sheetData sheetId="4">
        <row r="69">
          <cell r="G69">
            <v>14132000</v>
          </cell>
        </row>
        <row r="70">
          <cell r="G70">
            <v>929.73684210526312</v>
          </cell>
        </row>
        <row r="71">
          <cell r="G71">
            <v>14132000</v>
          </cell>
        </row>
        <row r="75">
          <cell r="G75">
            <v>154240.66390041495</v>
          </cell>
        </row>
      </sheetData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</sheetNames>
    <sheetDataSet>
      <sheetData sheetId="0">
        <row r="11">
          <cell r="G11">
            <v>83267829.735527769</v>
          </cell>
        </row>
        <row r="12">
          <cell r="G12">
            <v>181680.45796554247</v>
          </cell>
        </row>
        <row r="21">
          <cell r="G21">
            <v>5478.1466931268269</v>
          </cell>
        </row>
        <row r="25">
          <cell r="G25">
            <v>7274462.62948946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</sheetNames>
    <sheetDataSet>
      <sheetData sheetId="0">
        <row r="11">
          <cell r="G11">
            <v>73380217.966517478</v>
          </cell>
        </row>
        <row r="12">
          <cell r="G12">
            <v>190479.90481081512</v>
          </cell>
        </row>
        <row r="21">
          <cell r="G21">
            <v>4827.6459188498338</v>
          </cell>
        </row>
        <row r="25">
          <cell r="G25">
            <v>6410658.8947575996</v>
          </cell>
        </row>
      </sheetData>
      <sheetData sheetId="1">
        <row r="46">
          <cell r="C46">
            <v>0.83</v>
          </cell>
        </row>
      </sheetData>
      <sheetData sheetId="2"/>
      <sheetData sheetId="3">
        <row r="61">
          <cell r="AB61">
            <v>595.70698706491078</v>
          </cell>
        </row>
      </sheetData>
      <sheetData sheetId="4">
        <row r="74">
          <cell r="C74">
            <v>-23251399.25373134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"/>
      <sheetName val="Asumsi"/>
      <sheetName val="Price (Harga)"/>
      <sheetName val="I-O (Kuantitas)"/>
      <sheetName val="Budget"/>
      <sheetName val="Prod."/>
      <sheetName val="infografis"/>
    </sheetNames>
    <sheetDataSet>
      <sheetData sheetId="0">
        <row r="10">
          <cell r="G10">
            <v>67264191.623538733</v>
          </cell>
        </row>
        <row r="11">
          <cell r="G11">
            <v>4425.2757647064955</v>
          </cell>
        </row>
        <row r="12">
          <cell r="G12">
            <v>5529889.1322988421</v>
          </cell>
        </row>
        <row r="13">
          <cell r="G13">
            <v>296485.94806118822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</sheetNames>
    <sheetDataSet>
      <sheetData sheetId="0">
        <row r="11">
          <cell r="G11">
            <v>182394649.5113216</v>
          </cell>
        </row>
        <row r="12">
          <cell r="G12">
            <v>120457.07277187245</v>
          </cell>
        </row>
        <row r="21">
          <cell r="G21">
            <v>11999.647994165894</v>
          </cell>
        </row>
        <row r="25">
          <cell r="G25">
            <v>14994935.132308226</v>
          </cell>
        </row>
      </sheetData>
      <sheetData sheetId="1">
        <row r="24">
          <cell r="C24">
            <v>0.74666666666666692</v>
          </cell>
        </row>
      </sheetData>
      <sheetData sheetId="2"/>
      <sheetData sheetId="3">
        <row r="80">
          <cell r="C80">
            <v>12230</v>
          </cell>
        </row>
      </sheetData>
      <sheetData sheetId="4">
        <row r="67">
          <cell r="C67">
            <v>112995000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  <sheetName val="Production"/>
    </sheetNames>
    <sheetDataSet>
      <sheetData sheetId="0">
        <row r="11">
          <cell r="G11">
            <v>70681514.872581393</v>
          </cell>
        </row>
        <row r="12">
          <cell r="G12">
            <v>151197.09506560361</v>
          </cell>
        </row>
        <row r="21">
          <cell r="G21">
            <v>4650.0996626698288</v>
          </cell>
        </row>
        <row r="25">
          <cell r="G25">
            <v>5810832.3539493363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Asumsi"/>
      <sheetName val="Price (harga)"/>
      <sheetName val="I-O (kuantitas)"/>
      <sheetName val="Budget"/>
      <sheetName val="Data Kacang Tanah "/>
      <sheetName val="Data Cabe"/>
      <sheetName val="Tenaga Kerja All"/>
    </sheetNames>
    <sheetDataSet>
      <sheetData sheetId="0">
        <row r="12">
          <cell r="G12">
            <v>88038854.064719588</v>
          </cell>
        </row>
        <row r="13">
          <cell r="G13">
            <v>5792.0298726789206</v>
          </cell>
        </row>
        <row r="14">
          <cell r="G14">
            <v>21586965.7624125</v>
          </cell>
        </row>
        <row r="15">
          <cell r="G15">
            <v>159142.29207627074</v>
          </cell>
        </row>
      </sheetData>
      <sheetData sheetId="1"/>
      <sheetData sheetId="2"/>
      <sheetData sheetId="3">
        <row r="158">
          <cell r="C158">
            <v>1243.2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ulan dan Hasil"/>
      <sheetName val="Price (harga)"/>
      <sheetName val="Asumsi"/>
      <sheetName val="I-O (kuantitas)"/>
      <sheetName val="Budget"/>
    </sheetNames>
    <sheetDataSet>
      <sheetData sheetId="0">
        <row r="11">
          <cell r="G11">
            <v>-354203159.786789</v>
          </cell>
        </row>
        <row r="12">
          <cell r="G12">
            <v>-23302.839459657171</v>
          </cell>
        </row>
        <row r="13">
          <cell r="G13">
            <v>-29119568.02949873</v>
          </cell>
        </row>
        <row r="14">
          <cell r="G14">
            <v>-232866.34711218637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nita, Tania" id="{A1FE2CB2-6C4F-4584-9440-7453E475D602}" userId="T.Benita@cifor-icraf.org" providerId="PeoplePicker"/>
  <person displayName="Adzani, Thifali" id="{50356318-624D-4AC6-8010-E0E7ADC57B50}" userId="S::T.Adzani@cifor-icraf.org::4e851211-278f-40ae-b96d-632aab0584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9-08T08:09:08.17" personId="{50356318-624D-4AC6-8010-E0E7ADC57B50}" id="{6D1C6D79-42C7-4997-B07A-4BF43574D8CB}">
    <text>@Benita, Tania tan ada disini ya yang BAU nya. Kalau GAP, ada di kolom sampingnya</text>
    <mentions>
      <mention mentionpersonId="{A1FE2CB2-6C4F-4584-9440-7453E475D602}" mentionId="{D597A1AB-496B-4073-A1D4-CA085B0AA91D}" startIndex="0" length="14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0FD8-26F3-49C7-B1F0-B6A09D171DDF}">
  <dimension ref="A1:C9"/>
  <sheetViews>
    <sheetView workbookViewId="0">
      <selection activeCell="B5" sqref="B5"/>
    </sheetView>
  </sheetViews>
  <sheetFormatPr defaultRowHeight="14.4" x14ac:dyDescent="0.3"/>
  <cols>
    <col min="2" max="2" width="3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0</v>
      </c>
    </row>
    <row r="3" spans="1:3" x14ac:dyDescent="0.3">
      <c r="A3">
        <v>1</v>
      </c>
      <c r="B3" t="s">
        <v>4</v>
      </c>
      <c r="C3">
        <v>482079.54639999999</v>
      </c>
    </row>
    <row r="4" spans="1:3" x14ac:dyDescent="0.3">
      <c r="A4">
        <v>2</v>
      </c>
      <c r="B4" t="s">
        <v>5</v>
      </c>
      <c r="C4">
        <v>10113088.539999999</v>
      </c>
    </row>
    <row r="5" spans="1:3" x14ac:dyDescent="0.3">
      <c r="A5">
        <v>3</v>
      </c>
      <c r="B5" t="s">
        <v>6</v>
      </c>
      <c r="C5">
        <v>5249286.4740000004</v>
      </c>
    </row>
    <row r="6" spans="1:3" x14ac:dyDescent="0.3">
      <c r="A6">
        <v>4</v>
      </c>
      <c r="B6" t="s">
        <v>7</v>
      </c>
      <c r="C6">
        <v>0</v>
      </c>
    </row>
    <row r="7" spans="1:3" x14ac:dyDescent="0.3">
      <c r="A7">
        <v>5</v>
      </c>
      <c r="B7" t="s">
        <v>8</v>
      </c>
      <c r="C7">
        <v>10745295.98</v>
      </c>
    </row>
    <row r="8" spans="1:3" x14ac:dyDescent="0.3">
      <c r="A8">
        <v>6</v>
      </c>
      <c r="B8" t="s">
        <v>9</v>
      </c>
      <c r="C8">
        <v>1600161.5</v>
      </c>
    </row>
    <row r="9" spans="1:3" x14ac:dyDescent="0.3">
      <c r="A9">
        <v>7</v>
      </c>
      <c r="B9" t="s">
        <v>10</v>
      </c>
      <c r="C9">
        <v>192831.81849999999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C543-99E9-4264-BEE4-A04D93482361}">
  <dimension ref="A1:Q48"/>
  <sheetViews>
    <sheetView tabSelected="1" workbookViewId="0">
      <selection activeCell="C3" sqref="C3"/>
    </sheetView>
  </sheetViews>
  <sheetFormatPr defaultRowHeight="14.4" x14ac:dyDescent="0.3"/>
  <cols>
    <col min="1" max="1" width="20.33203125" style="39" customWidth="1"/>
    <col min="2" max="2" width="20" customWidth="1"/>
    <col min="3" max="3" width="18.5546875" customWidth="1"/>
    <col min="4" max="4" width="11.77734375" bestFit="1" customWidth="1"/>
    <col min="6" max="6" width="0" hidden="1" customWidth="1"/>
    <col min="7" max="7" width="10.77734375" bestFit="1" customWidth="1"/>
    <col min="9" max="9" width="18.33203125" bestFit="1" customWidth="1"/>
    <col min="12" max="12" width="28.5546875" bestFit="1" customWidth="1"/>
    <col min="13" max="13" width="30.44140625" bestFit="1" customWidth="1"/>
    <col min="14" max="14" width="12.6640625" bestFit="1" customWidth="1"/>
    <col min="15" max="15" width="27.21875" bestFit="1" customWidth="1"/>
    <col min="16" max="16" width="19.44140625" hidden="1" customWidth="1"/>
    <col min="17" max="17" width="15.6640625" bestFit="1" customWidth="1"/>
  </cols>
  <sheetData>
    <row r="1" spans="1:17" ht="28.8" x14ac:dyDescent="0.3">
      <c r="B1" s="1" t="s">
        <v>11</v>
      </c>
      <c r="C1" s="1" t="s">
        <v>12</v>
      </c>
      <c r="D1" s="2" t="s">
        <v>13</v>
      </c>
      <c r="E1" s="2"/>
      <c r="F1" s="2"/>
      <c r="G1" s="2"/>
      <c r="H1" s="2" t="s">
        <v>14</v>
      </c>
      <c r="I1" s="2" t="s">
        <v>15</v>
      </c>
      <c r="L1" s="41" t="s">
        <v>73</v>
      </c>
      <c r="M1" s="41" t="s">
        <v>74</v>
      </c>
      <c r="N1" s="41" t="s">
        <v>16</v>
      </c>
      <c r="O1" s="41" t="s">
        <v>17</v>
      </c>
      <c r="P1" s="41" t="s">
        <v>18</v>
      </c>
      <c r="Q1" s="41" t="s">
        <v>19</v>
      </c>
    </row>
    <row r="2" spans="1:17" ht="57.6" x14ac:dyDescent="0.3">
      <c r="A2" s="42" t="s">
        <v>99</v>
      </c>
      <c r="B2" s="1"/>
      <c r="C2" s="1"/>
      <c r="D2" s="3" t="s">
        <v>16</v>
      </c>
      <c r="E2" s="3" t="s">
        <v>17</v>
      </c>
      <c r="F2" s="3" t="s">
        <v>18</v>
      </c>
      <c r="G2" s="3" t="s">
        <v>19</v>
      </c>
      <c r="H2" s="2"/>
      <c r="I2" s="2"/>
      <c r="L2" s="40" t="s">
        <v>75</v>
      </c>
      <c r="M2" s="40" t="s">
        <v>76</v>
      </c>
      <c r="N2" s="40"/>
      <c r="O2" s="40"/>
      <c r="P2" s="40"/>
      <c r="Q2" s="40"/>
    </row>
    <row r="3" spans="1:17" ht="31.2" x14ac:dyDescent="0.3">
      <c r="A3" s="43" t="s">
        <v>5</v>
      </c>
      <c r="B3" s="4" t="s">
        <v>20</v>
      </c>
      <c r="C3" s="5" t="s">
        <v>21</v>
      </c>
      <c r="D3" s="6">
        <f>'[1]Simpulan dan Hasil'!$G$10</f>
        <v>137417707.58338425</v>
      </c>
      <c r="E3" s="6">
        <f>'[1]Simpulan dan Hasil'!$G$11</f>
        <v>9040.6386568015951</v>
      </c>
      <c r="F3" s="7">
        <f>[2]Sulsel!$D$6</f>
        <v>36459</v>
      </c>
      <c r="G3" s="6">
        <f>'[1]Simpulan dan Hasil'!$G$12</f>
        <v>11297313.91114871</v>
      </c>
      <c r="H3" s="6">
        <f>'[1]Simpulan dan Hasil'!$G$13</f>
        <v>218795.82346161231</v>
      </c>
      <c r="I3" s="8">
        <v>30</v>
      </c>
      <c r="L3" s="40" t="s">
        <v>75</v>
      </c>
      <c r="M3" s="40" t="s">
        <v>77</v>
      </c>
      <c r="N3" s="40"/>
      <c r="O3" s="40"/>
      <c r="P3" s="40"/>
      <c r="Q3" s="40"/>
    </row>
    <row r="4" spans="1:17" ht="31.2" x14ac:dyDescent="0.3">
      <c r="A4" s="43" t="s">
        <v>5</v>
      </c>
      <c r="B4" s="4" t="s">
        <v>22</v>
      </c>
      <c r="C4" s="5" t="s">
        <v>23</v>
      </c>
      <c r="D4" s="6">
        <f>'[3]Simpulan dan Hasil'!$G$10</f>
        <v>49619988.377028964</v>
      </c>
      <c r="E4" s="6">
        <f>'[3]Simpulan dan Hasil'!$G$11</f>
        <v>3264.4729195413793</v>
      </c>
      <c r="F4" s="7"/>
      <c r="G4" s="6">
        <f>'[3]Simpulan dan Hasil'!$G$12</f>
        <v>12166730.264785189</v>
      </c>
      <c r="H4" s="6">
        <f>'[3]Simpulan dan Hasil'!$G$13</f>
        <v>200564.99356499355</v>
      </c>
      <c r="I4" s="8">
        <v>5</v>
      </c>
      <c r="L4" s="40" t="s">
        <v>78</v>
      </c>
      <c r="M4" s="40" t="s">
        <v>76</v>
      </c>
      <c r="N4" s="40">
        <v>73380217.966517478</v>
      </c>
      <c r="O4" s="40">
        <v>4827.6459188498338</v>
      </c>
      <c r="P4" s="40">
        <v>0</v>
      </c>
      <c r="Q4" s="40">
        <v>6410658.8947575996</v>
      </c>
    </row>
    <row r="5" spans="1:17" ht="15.6" x14ac:dyDescent="0.3">
      <c r="A5" s="43" t="s">
        <v>5</v>
      </c>
      <c r="B5" s="4" t="s">
        <v>24</v>
      </c>
      <c r="C5" s="5" t="s">
        <v>25</v>
      </c>
      <c r="D5" s="6">
        <f>'[4]Simpulan dan Hasil'!$G$10</f>
        <v>88302049.910240561</v>
      </c>
      <c r="E5" s="6">
        <f>'[4]Simpulan dan Hasil'!$G$11</f>
        <v>5809.3453888316162</v>
      </c>
      <c r="F5" s="7"/>
      <c r="G5" s="6">
        <f>'[4]Simpulan dan Hasil'!$G$12</f>
        <v>7259442.7194077978</v>
      </c>
      <c r="H5" s="6">
        <f>'[4]Simpulan dan Hasil'!$G$13</f>
        <v>649894.0397350993</v>
      </c>
      <c r="I5" s="8">
        <v>30</v>
      </c>
      <c r="L5" s="40" t="s">
        <v>78</v>
      </c>
      <c r="M5" s="40" t="s">
        <v>77</v>
      </c>
      <c r="N5" s="40">
        <v>115810505.97855516</v>
      </c>
      <c r="O5" s="40">
        <v>5453.7771971204475</v>
      </c>
      <c r="P5" s="40"/>
      <c r="Q5" s="40">
        <v>7242102.2350114658</v>
      </c>
    </row>
    <row r="6" spans="1:17" ht="31.2" x14ac:dyDescent="0.3">
      <c r="A6" s="43" t="s">
        <v>5</v>
      </c>
      <c r="B6" s="4" t="s">
        <v>26</v>
      </c>
      <c r="C6" s="5" t="s">
        <v>27</v>
      </c>
      <c r="D6" s="6">
        <f>'[5]Budget 40 Tahun_NN'!$B$81</f>
        <v>38426196.263514198</v>
      </c>
      <c r="E6" s="6">
        <f>'[5]Simpulan dan Hasil'!$G$11</f>
        <v>4910.8717059929068</v>
      </c>
      <c r="F6" s="9"/>
      <c r="G6" s="6">
        <f>'[5]Simpulan dan Hasil'!$G$12</f>
        <v>5729539.71935667</v>
      </c>
      <c r="H6" s="6">
        <f>'[5]Simpulan dan Hasil'!$G$13</f>
        <v>171444.76372924648</v>
      </c>
      <c r="I6" s="8">
        <f>'[6]Simpulan dan Hasil'!$C$7</f>
        <v>40</v>
      </c>
      <c r="L6" s="40" t="s">
        <v>79</v>
      </c>
      <c r="M6" s="40" t="s">
        <v>76</v>
      </c>
      <c r="N6" s="40">
        <v>83267829.735527769</v>
      </c>
      <c r="O6" s="40">
        <v>5478.1466931268269</v>
      </c>
      <c r="P6" s="40">
        <v>10188</v>
      </c>
      <c r="Q6" s="40">
        <v>7274462.62948946</v>
      </c>
    </row>
    <row r="7" spans="1:17" x14ac:dyDescent="0.3">
      <c r="A7" s="43" t="s">
        <v>5</v>
      </c>
      <c r="B7" s="10" t="s">
        <v>28</v>
      </c>
      <c r="C7" s="10" t="s">
        <v>29</v>
      </c>
      <c r="D7" s="6">
        <f>[7]Budget!$B$81</f>
        <v>41112945.675236478</v>
      </c>
      <c r="E7" s="6">
        <f>'[7]Simpulan dan Hasil'!$G$11</f>
        <v>2704.7990575813474</v>
      </c>
      <c r="F7" s="7"/>
      <c r="G7" s="6">
        <f>'[7]Simpulan dan Hasil'!$G$12</f>
        <v>5907791.5639600344</v>
      </c>
      <c r="H7" s="11">
        <f>'[7]Simpulan dan Hasil'!$G$13</f>
        <v>145696.09362336935</v>
      </c>
      <c r="I7" s="8">
        <f>'[7]Simpulan dan Hasil'!$C$7</f>
        <v>10</v>
      </c>
      <c r="L7" s="40" t="s">
        <v>79</v>
      </c>
      <c r="M7" s="40" t="s">
        <v>77</v>
      </c>
      <c r="N7" s="40">
        <v>129380065.03507142</v>
      </c>
      <c r="O7" s="40">
        <v>6190.1398593461217</v>
      </c>
      <c r="P7" s="40"/>
      <c r="Q7" s="40">
        <v>8219922.4665932106</v>
      </c>
    </row>
    <row r="8" spans="1:17" ht="15.6" x14ac:dyDescent="0.3">
      <c r="A8" s="43" t="s">
        <v>5</v>
      </c>
      <c r="B8" s="4" t="s">
        <v>30</v>
      </c>
      <c r="C8" s="5" t="s">
        <v>31</v>
      </c>
      <c r="D8" s="6">
        <f>'[8]Simpulan dan Hasil'!$G$14</f>
        <v>27804359.410310242</v>
      </c>
      <c r="E8" s="6">
        <f>'[8]Simpulan dan Hasil'!$G$15</f>
        <v>1829.2341717309371</v>
      </c>
      <c r="F8" s="7">
        <f>[2]Sulsel!$D$14</f>
        <v>1947</v>
      </c>
      <c r="G8" s="6">
        <f>'[8]Simpulan dan Hasil'!$G$16</f>
        <v>2285837.6979260379</v>
      </c>
      <c r="H8" s="6">
        <f>'[8]Simpulan dan Hasil'!$G$18</f>
        <v>194054.60661508501</v>
      </c>
      <c r="I8" s="8">
        <f>'[8]Simpulan dan Hasil'!$C$10</f>
        <v>30</v>
      </c>
      <c r="L8" s="40" t="s">
        <v>80</v>
      </c>
      <c r="M8" s="40" t="s">
        <v>76</v>
      </c>
      <c r="N8" s="40">
        <v>70681514.872581393</v>
      </c>
      <c r="O8" s="40">
        <v>4650.0996626698288</v>
      </c>
      <c r="P8" s="40">
        <v>20355</v>
      </c>
      <c r="Q8" s="40">
        <v>5810832.3539493363</v>
      </c>
    </row>
    <row r="9" spans="1:17" ht="15.6" x14ac:dyDescent="0.3">
      <c r="A9" s="43" t="s">
        <v>5</v>
      </c>
      <c r="B9" s="4" t="s">
        <v>32</v>
      </c>
      <c r="C9" s="5" t="s">
        <v>33</v>
      </c>
      <c r="D9" s="6">
        <f>'[9]Simpulan dan Hasil'!$G$14</f>
        <v>21433423.12935967</v>
      </c>
      <c r="E9" s="6">
        <f>'[9]Simpulan dan Hasil'!$G$15</f>
        <v>1410.0936269315573</v>
      </c>
      <c r="F9" s="7"/>
      <c r="G9" s="6">
        <f>'[9]Simpulan dan Hasil'!$G$16</f>
        <v>2727345.6727482486</v>
      </c>
      <c r="H9" s="6">
        <f>'[9]Simpulan dan Hasil'!$G$18</f>
        <v>123826.15546218488</v>
      </c>
      <c r="I9" s="8">
        <f>'[9]Simpulan dan Hasil'!$C$10</f>
        <v>12</v>
      </c>
      <c r="L9" s="40" t="s">
        <v>80</v>
      </c>
      <c r="M9" s="40" t="s">
        <v>77</v>
      </c>
      <c r="N9" s="40"/>
      <c r="O9" s="40"/>
      <c r="P9" s="40"/>
      <c r="Q9" s="40"/>
    </row>
    <row r="10" spans="1:17" ht="15.6" x14ac:dyDescent="0.3">
      <c r="A10" s="44" t="s">
        <v>6</v>
      </c>
      <c r="B10" s="12" t="s">
        <v>34</v>
      </c>
      <c r="C10" s="5" t="s">
        <v>35</v>
      </c>
      <c r="D10" s="13">
        <f>'[10]Simpulan dan Hasil'!$G$14</f>
        <v>73131744.176467031</v>
      </c>
      <c r="E10" s="13">
        <f>'[10]Simpulan dan Hasil'!$G$15</f>
        <v>4811.2989589780946</v>
      </c>
      <c r="F10" s="7">
        <f>[2]Sulsel!$D$17</f>
        <v>5946</v>
      </c>
      <c r="G10" s="13">
        <f>'[10]Simpulan dan Hasil'!$G$16</f>
        <v>6012269.345492037</v>
      </c>
      <c r="H10" s="13">
        <f>'[10]Simpulan dan Hasil'!$G$18</f>
        <v>189105.54889815583</v>
      </c>
      <c r="I10" s="14">
        <f>'[10]Simpulan dan Hasil'!$C$10</f>
        <v>30</v>
      </c>
      <c r="L10" s="40" t="s">
        <v>81</v>
      </c>
      <c r="M10" s="40" t="s">
        <v>76</v>
      </c>
      <c r="N10" s="40">
        <v>14132000</v>
      </c>
      <c r="O10" s="40">
        <v>929.73684210526312</v>
      </c>
      <c r="P10" s="40">
        <v>6233</v>
      </c>
      <c r="Q10" s="40">
        <v>14132000</v>
      </c>
    </row>
    <row r="11" spans="1:17" ht="28.8" x14ac:dyDescent="0.3">
      <c r="A11" s="44"/>
      <c r="B11" s="12"/>
      <c r="C11" s="15" t="s">
        <v>23</v>
      </c>
      <c r="D11" s="13"/>
      <c r="E11" s="13"/>
      <c r="F11" s="7"/>
      <c r="G11" s="13"/>
      <c r="H11" s="13"/>
      <c r="I11" s="14"/>
      <c r="L11" s="40" t="s">
        <v>81</v>
      </c>
      <c r="M11" s="40" t="s">
        <v>82</v>
      </c>
      <c r="N11" s="40">
        <v>17152600</v>
      </c>
      <c r="O11" s="40">
        <v>1128.4605263157894</v>
      </c>
      <c r="P11" s="40"/>
      <c r="Q11" s="40">
        <v>17152600</v>
      </c>
    </row>
    <row r="12" spans="1:17" x14ac:dyDescent="0.3">
      <c r="A12" s="44"/>
      <c r="B12" s="12"/>
      <c r="C12" s="15"/>
      <c r="D12" s="13"/>
      <c r="E12" s="13"/>
      <c r="F12" s="7"/>
      <c r="G12" s="13"/>
      <c r="H12" s="13"/>
      <c r="I12" s="14"/>
      <c r="L12" s="40" t="s">
        <v>56</v>
      </c>
      <c r="M12" s="40" t="s">
        <v>76</v>
      </c>
      <c r="N12" s="40">
        <v>182394649.5113216</v>
      </c>
      <c r="O12" s="40">
        <v>11999.647994165894</v>
      </c>
      <c r="P12" s="40">
        <v>0</v>
      </c>
      <c r="Q12" s="40">
        <v>14994935.132308226</v>
      </c>
    </row>
    <row r="13" spans="1:17" ht="28.8" x14ac:dyDescent="0.3">
      <c r="A13" s="44"/>
      <c r="B13" s="12"/>
      <c r="C13" s="15" t="s">
        <v>21</v>
      </c>
      <c r="D13" s="13"/>
      <c r="E13" s="13"/>
      <c r="F13" s="7"/>
      <c r="G13" s="13"/>
      <c r="H13" s="13"/>
      <c r="I13" s="14"/>
      <c r="L13" s="40" t="s">
        <v>56</v>
      </c>
      <c r="M13" s="40" t="s">
        <v>77</v>
      </c>
      <c r="N13" s="40">
        <v>228422427.65315819</v>
      </c>
      <c r="O13" s="40">
        <v>15027.791292970933</v>
      </c>
      <c r="P13" s="40"/>
      <c r="Q13" s="40">
        <v>18778947.159910347</v>
      </c>
    </row>
    <row r="14" spans="1:17" x14ac:dyDescent="0.3">
      <c r="A14" s="44"/>
      <c r="B14" s="12"/>
      <c r="C14" s="15"/>
      <c r="D14" s="13"/>
      <c r="E14" s="13"/>
      <c r="F14" s="7"/>
      <c r="G14" s="13"/>
      <c r="H14" s="13"/>
      <c r="I14" s="14"/>
      <c r="L14" s="40" t="s">
        <v>83</v>
      </c>
      <c r="M14" s="40" t="s">
        <v>84</v>
      </c>
      <c r="N14" s="40"/>
      <c r="O14" s="40"/>
      <c r="P14" s="40"/>
      <c r="Q14" s="40"/>
    </row>
    <row r="15" spans="1:17" x14ac:dyDescent="0.3">
      <c r="A15" s="44"/>
      <c r="B15" s="12"/>
      <c r="C15" s="15" t="s">
        <v>36</v>
      </c>
      <c r="D15" s="13"/>
      <c r="E15" s="13"/>
      <c r="F15" s="7"/>
      <c r="G15" s="13"/>
      <c r="H15" s="13"/>
      <c r="I15" s="14"/>
      <c r="L15" s="40"/>
      <c r="M15" s="40"/>
      <c r="N15" s="40"/>
      <c r="O15" s="40"/>
      <c r="P15" s="40"/>
      <c r="Q15" s="40"/>
    </row>
    <row r="16" spans="1:17" ht="31.2" x14ac:dyDescent="0.3">
      <c r="A16" s="43" t="s">
        <v>5</v>
      </c>
      <c r="B16" s="4" t="s">
        <v>37</v>
      </c>
      <c r="C16" s="5" t="s">
        <v>38</v>
      </c>
      <c r="D16" s="6">
        <f>'[11]Simpulan dan Hasil'!$G$14</f>
        <v>131741082.76483977</v>
      </c>
      <c r="E16" s="6">
        <f>'[11]Simpulan dan Hasil'!$G$15</f>
        <v>8667.1764976868271</v>
      </c>
      <c r="F16" s="7"/>
      <c r="G16" s="6">
        <f>'[11]Simpulan dan Hasil'!$G$16</f>
        <v>11509193.723256232</v>
      </c>
      <c r="H16" s="6">
        <f>'[11]Simpulan dan Hasil'!$G$18</f>
        <v>311324.67044210708</v>
      </c>
      <c r="I16" s="8">
        <f>'[11]Simpulan dan Hasil'!$C$10</f>
        <v>25</v>
      </c>
      <c r="L16" s="40" t="s">
        <v>85</v>
      </c>
      <c r="M16" s="40" t="s">
        <v>76</v>
      </c>
      <c r="N16" s="40">
        <v>49619988.377028964</v>
      </c>
      <c r="O16" s="40">
        <v>3264.4729195413793</v>
      </c>
      <c r="P16" s="40">
        <v>0</v>
      </c>
      <c r="Q16" s="40">
        <v>12166730.264785189</v>
      </c>
    </row>
    <row r="17" spans="1:17" ht="15.6" x14ac:dyDescent="0.3">
      <c r="A17" s="43" t="s">
        <v>5</v>
      </c>
      <c r="B17" s="16" t="s">
        <v>39</v>
      </c>
      <c r="C17" s="17" t="s">
        <v>40</v>
      </c>
      <c r="D17" s="18"/>
      <c r="E17" s="18"/>
      <c r="F17" s="7"/>
      <c r="G17" s="18"/>
      <c r="H17" s="19"/>
      <c r="I17" s="19"/>
      <c r="L17" s="40" t="s">
        <v>85</v>
      </c>
      <c r="M17" s="40" t="s">
        <v>77</v>
      </c>
      <c r="N17" s="40">
        <v>58240844.903463148</v>
      </c>
      <c r="O17" s="40">
        <v>3831.6345331225757</v>
      </c>
      <c r="P17" s="40"/>
      <c r="Q17" s="40">
        <v>14280548.494881639</v>
      </c>
    </row>
    <row r="18" spans="1:17" ht="15.6" x14ac:dyDescent="0.3">
      <c r="A18" s="44" t="s">
        <v>6</v>
      </c>
      <c r="B18" s="20" t="s">
        <v>41</v>
      </c>
      <c r="C18" s="5" t="s">
        <v>42</v>
      </c>
      <c r="D18" s="13">
        <f>'[12]Simpulan dan Hasil'!$G$11</f>
        <v>73900386.578802451</v>
      </c>
      <c r="E18" s="13">
        <f>'[12]Simpulan dan Hasil'!$G$12</f>
        <v>4861.8675380791083</v>
      </c>
      <c r="F18" s="21">
        <f>[2]Sulsel!$D$13</f>
        <v>17136</v>
      </c>
      <c r="G18" s="13">
        <f>'[12]Simpulan dan Hasil'!$G$13</f>
        <v>6456101.9805581886</v>
      </c>
      <c r="H18" s="13">
        <f>'[12]Simpulan dan Hasil'!$G$15</f>
        <v>163856.88465492663</v>
      </c>
      <c r="I18" s="14">
        <v>25</v>
      </c>
      <c r="L18" s="40" t="s">
        <v>86</v>
      </c>
      <c r="M18" s="40" t="s">
        <v>76</v>
      </c>
      <c r="N18" s="40">
        <v>38426196.263514198</v>
      </c>
      <c r="O18" s="40">
        <v>4910.8717059929068</v>
      </c>
      <c r="P18" s="40">
        <v>0</v>
      </c>
      <c r="Q18" s="40">
        <v>5729539.71935667</v>
      </c>
    </row>
    <row r="19" spans="1:17" ht="28.8" x14ac:dyDescent="0.3">
      <c r="A19" s="44"/>
      <c r="B19" s="20"/>
      <c r="C19" s="15" t="s">
        <v>21</v>
      </c>
      <c r="D19" s="13"/>
      <c r="E19" s="13"/>
      <c r="F19" s="7"/>
      <c r="G19" s="13"/>
      <c r="H19" s="13"/>
      <c r="I19" s="14"/>
      <c r="L19" s="40" t="s">
        <v>86</v>
      </c>
      <c r="M19" s="40" t="s">
        <v>77</v>
      </c>
      <c r="N19" s="40">
        <v>146285612.77531534</v>
      </c>
      <c r="O19" s="40">
        <v>9624.0534720602209</v>
      </c>
      <c r="P19" s="40"/>
      <c r="Q19" s="40">
        <v>11228433.551235016</v>
      </c>
    </row>
    <row r="20" spans="1:17" x14ac:dyDescent="0.3">
      <c r="A20" s="44"/>
      <c r="B20" s="20"/>
      <c r="C20" s="15" t="s">
        <v>43</v>
      </c>
      <c r="D20" s="13"/>
      <c r="E20" s="13"/>
      <c r="F20" s="7"/>
      <c r="G20" s="13"/>
      <c r="H20" s="13"/>
      <c r="I20" s="14"/>
      <c r="L20" s="40" t="s">
        <v>87</v>
      </c>
      <c r="M20" s="40" t="s">
        <v>76</v>
      </c>
      <c r="N20" s="40">
        <v>143869306.69867972</v>
      </c>
      <c r="O20" s="40">
        <v>9465.0859670184018</v>
      </c>
      <c r="P20" s="40">
        <v>36459</v>
      </c>
      <c r="Q20" s="40">
        <v>11827709.459991319</v>
      </c>
    </row>
    <row r="21" spans="1:17" ht="28.8" x14ac:dyDescent="0.3">
      <c r="A21" s="44"/>
      <c r="B21" s="20"/>
      <c r="C21" s="15" t="s">
        <v>44</v>
      </c>
      <c r="D21" s="13"/>
      <c r="E21" s="13"/>
      <c r="F21" s="7"/>
      <c r="G21" s="13"/>
      <c r="H21" s="13"/>
      <c r="I21" s="14"/>
      <c r="L21" s="40" t="s">
        <v>87</v>
      </c>
      <c r="M21" s="40" t="s">
        <v>77</v>
      </c>
      <c r="N21" s="40">
        <v>137417707.58338425</v>
      </c>
      <c r="O21" s="40">
        <v>9040.6386568015951</v>
      </c>
      <c r="P21" s="40"/>
      <c r="Q21" s="40">
        <v>11297313.91114871</v>
      </c>
    </row>
    <row r="22" spans="1:17" ht="31.2" x14ac:dyDescent="0.3">
      <c r="A22" s="44" t="s">
        <v>6</v>
      </c>
      <c r="B22" s="12" t="s">
        <v>45</v>
      </c>
      <c r="C22" s="5" t="s">
        <v>44</v>
      </c>
      <c r="D22" s="13">
        <f>'[13]Simpulan dan Hasil'!$G$11</f>
        <v>70008312.048653722</v>
      </c>
      <c r="E22" s="13">
        <f>'[13]Simpulan dan Hasil'!$G$21</f>
        <v>4605.8100032009024</v>
      </c>
      <c r="F22" s="7"/>
      <c r="G22" s="13">
        <f>'[13]Simpulan dan Hasil'!$G$25</f>
        <v>5755487.3495715875</v>
      </c>
      <c r="H22" s="13">
        <f>'[13]Simpulan dan Hasil'!$G$12</f>
        <v>272750.35104660381</v>
      </c>
      <c r="I22" s="14">
        <v>30</v>
      </c>
      <c r="L22" s="40" t="s">
        <v>88</v>
      </c>
      <c r="M22" s="40" t="s">
        <v>76</v>
      </c>
      <c r="N22" s="40">
        <v>65475477.480272412</v>
      </c>
      <c r="O22" s="40">
        <v>4307.597202649501</v>
      </c>
      <c r="P22" s="40"/>
      <c r="Q22" s="40">
        <v>5382836.2849681647</v>
      </c>
    </row>
    <row r="23" spans="1:17" ht="31.2" x14ac:dyDescent="0.3">
      <c r="A23" s="44"/>
      <c r="B23" s="12"/>
      <c r="C23" s="5" t="s">
        <v>46</v>
      </c>
      <c r="D23" s="13"/>
      <c r="E23" s="13"/>
      <c r="F23" s="7"/>
      <c r="G23" s="13"/>
      <c r="H23" s="13"/>
      <c r="I23" s="14"/>
      <c r="L23" s="40" t="s">
        <v>88</v>
      </c>
      <c r="M23" s="40" t="s">
        <v>77</v>
      </c>
      <c r="N23" s="40">
        <v>63606013.173469409</v>
      </c>
      <c r="O23" s="40">
        <v>4184.6061298335135</v>
      </c>
      <c r="P23" s="40"/>
      <c r="Q23" s="40">
        <v>5229144.8467171947</v>
      </c>
    </row>
    <row r="24" spans="1:17" ht="31.2" x14ac:dyDescent="0.3">
      <c r="A24" s="44"/>
      <c r="B24" s="12"/>
      <c r="C24" s="5" t="s">
        <v>47</v>
      </c>
      <c r="D24" s="13"/>
      <c r="E24" s="13"/>
      <c r="F24" s="7"/>
      <c r="G24" s="13"/>
      <c r="H24" s="13"/>
      <c r="I24" s="14"/>
      <c r="L24" s="40" t="s">
        <v>89</v>
      </c>
      <c r="M24" s="40" t="s">
        <v>76</v>
      </c>
      <c r="N24" s="40">
        <v>73131744.176467031</v>
      </c>
      <c r="O24" s="40">
        <v>4811.2989589780946</v>
      </c>
      <c r="P24" s="40">
        <v>5946</v>
      </c>
      <c r="Q24" s="40">
        <v>6012269.345492037</v>
      </c>
    </row>
    <row r="25" spans="1:17" ht="31.2" x14ac:dyDescent="0.3">
      <c r="A25" s="44"/>
      <c r="B25" s="12"/>
      <c r="C25" s="5" t="s">
        <v>48</v>
      </c>
      <c r="D25" s="13"/>
      <c r="E25" s="13"/>
      <c r="F25" s="7"/>
      <c r="G25" s="13"/>
      <c r="H25" s="13"/>
      <c r="I25" s="14"/>
      <c r="L25" s="40" t="s">
        <v>89</v>
      </c>
      <c r="M25" s="40" t="s">
        <v>77</v>
      </c>
      <c r="N25" s="40">
        <v>85164785.994906396</v>
      </c>
      <c r="O25" s="40">
        <v>5602.9464470333151</v>
      </c>
      <c r="P25" s="40"/>
      <c r="Q25" s="40">
        <v>7001523.5916844429</v>
      </c>
    </row>
    <row r="26" spans="1:17" x14ac:dyDescent="0.3">
      <c r="A26" s="44"/>
      <c r="B26" s="12"/>
      <c r="C26" s="22" t="s">
        <v>49</v>
      </c>
      <c r="D26" s="13"/>
      <c r="E26" s="13"/>
      <c r="F26" s="7"/>
      <c r="G26" s="13"/>
      <c r="H26" s="13"/>
      <c r="I26" s="14"/>
      <c r="L26" s="40" t="s">
        <v>90</v>
      </c>
      <c r="M26" s="40" t="s">
        <v>76</v>
      </c>
      <c r="N26" s="40">
        <v>68097131.820011884</v>
      </c>
      <c r="O26" s="40">
        <v>4480.0744618428871</v>
      </c>
      <c r="P26" s="40"/>
      <c r="Q26" s="40">
        <v>5598366.3834060999</v>
      </c>
    </row>
    <row r="27" spans="1:17" ht="31.2" x14ac:dyDescent="0.3">
      <c r="A27" s="43" t="s">
        <v>8</v>
      </c>
      <c r="B27" s="4" t="s">
        <v>50</v>
      </c>
      <c r="C27" s="5" t="s">
        <v>51</v>
      </c>
      <c r="D27" s="6">
        <f>[14]Budget!$G$69</f>
        <v>14132000</v>
      </c>
      <c r="E27" s="6">
        <f>[14]Budget!$G$70</f>
        <v>929.73684210526312</v>
      </c>
      <c r="F27" s="21">
        <f>[2]Sulsel!$D$3</f>
        <v>6233</v>
      </c>
      <c r="G27" s="6">
        <f>[14]Budget!$G$71</f>
        <v>14132000</v>
      </c>
      <c r="H27" s="6">
        <f>[14]Budget!$G$75</f>
        <v>154240.66390041495</v>
      </c>
      <c r="I27" s="8">
        <v>1</v>
      </c>
      <c r="L27" s="40" t="s">
        <v>90</v>
      </c>
      <c r="M27" s="40" t="s">
        <v>77</v>
      </c>
      <c r="N27" s="40">
        <v>75386531.686704084</v>
      </c>
      <c r="O27" s="40">
        <v>4159.7261322289214</v>
      </c>
      <c r="P27" s="40"/>
      <c r="Q27" s="40">
        <v>5198054.4388690451</v>
      </c>
    </row>
    <row r="28" spans="1:17" ht="31.2" x14ac:dyDescent="0.3">
      <c r="A28" s="44" t="s">
        <v>6</v>
      </c>
      <c r="B28" s="12" t="s">
        <v>52</v>
      </c>
      <c r="C28" s="5" t="s">
        <v>46</v>
      </c>
      <c r="D28" s="13">
        <f>'[15]Simpulan dan Hasil'!$G$11</f>
        <v>83267829.735527769</v>
      </c>
      <c r="E28" s="13">
        <f>'[15]Simpulan dan Hasil'!$G$21</f>
        <v>5478.1466931268269</v>
      </c>
      <c r="F28" s="23">
        <f>[2]Sulsel!$D$15</f>
        <v>10188</v>
      </c>
      <c r="G28" s="13">
        <f>'[15]Simpulan dan Hasil'!$G$25</f>
        <v>7274462.62948946</v>
      </c>
      <c r="H28" s="13">
        <f>'[15]Simpulan dan Hasil'!$G$12</f>
        <v>181680.45796554247</v>
      </c>
      <c r="I28" s="14">
        <v>25</v>
      </c>
      <c r="L28" s="40" t="s">
        <v>91</v>
      </c>
      <c r="M28" s="40" t="s">
        <v>76</v>
      </c>
      <c r="N28" s="40">
        <v>131741082.76483977</v>
      </c>
      <c r="O28" s="40">
        <v>8667.1764976868271</v>
      </c>
      <c r="P28" s="40">
        <v>0</v>
      </c>
      <c r="Q28" s="40">
        <v>11509193.723256232</v>
      </c>
    </row>
    <row r="29" spans="1:17" ht="31.2" x14ac:dyDescent="0.3">
      <c r="A29" s="44"/>
      <c r="B29" s="12"/>
      <c r="C29" s="5" t="s">
        <v>47</v>
      </c>
      <c r="D29" s="13"/>
      <c r="E29" s="13"/>
      <c r="F29" s="9"/>
      <c r="G29" s="13"/>
      <c r="H29" s="13"/>
      <c r="I29" s="14"/>
      <c r="L29" s="40" t="s">
        <v>91</v>
      </c>
      <c r="M29" s="40" t="s">
        <v>77</v>
      </c>
      <c r="N29" s="40"/>
      <c r="O29" s="40"/>
      <c r="P29" s="40"/>
      <c r="Q29" s="40"/>
    </row>
    <row r="30" spans="1:17" ht="31.2" x14ac:dyDescent="0.3">
      <c r="A30" s="44"/>
      <c r="B30" s="12"/>
      <c r="C30" s="5" t="s">
        <v>48</v>
      </c>
      <c r="D30" s="13"/>
      <c r="E30" s="13"/>
      <c r="F30" s="9"/>
      <c r="G30" s="13"/>
      <c r="H30" s="13"/>
      <c r="I30" s="14"/>
      <c r="L30" s="40" t="s">
        <v>92</v>
      </c>
      <c r="M30" s="40" t="s">
        <v>77</v>
      </c>
      <c r="N30" s="40"/>
      <c r="O30" s="40"/>
      <c r="P30" s="40"/>
      <c r="Q30" s="40"/>
    </row>
    <row r="31" spans="1:17" ht="15.6" x14ac:dyDescent="0.3">
      <c r="A31" s="44"/>
      <c r="B31" s="12"/>
      <c r="C31" s="24"/>
      <c r="D31" s="13"/>
      <c r="E31" s="13"/>
      <c r="F31" s="9"/>
      <c r="G31" s="13"/>
      <c r="H31" s="13"/>
      <c r="I31" s="14"/>
      <c r="L31" s="40"/>
      <c r="M31" s="40"/>
      <c r="N31" s="40"/>
      <c r="O31" s="40"/>
      <c r="P31" s="40"/>
      <c r="Q31" s="40"/>
    </row>
    <row r="32" spans="1:17" x14ac:dyDescent="0.3">
      <c r="A32" s="44"/>
      <c r="B32" s="12"/>
      <c r="C32" s="22" t="s">
        <v>43</v>
      </c>
      <c r="D32" s="13"/>
      <c r="E32" s="13"/>
      <c r="F32" s="9"/>
      <c r="G32" s="13"/>
      <c r="H32" s="13"/>
      <c r="I32" s="14"/>
      <c r="L32" s="40" t="s">
        <v>93</v>
      </c>
      <c r="M32" s="40" t="s">
        <v>76</v>
      </c>
      <c r="N32" s="40"/>
      <c r="O32" s="40"/>
      <c r="P32" s="40"/>
      <c r="Q32" s="40"/>
    </row>
    <row r="33" spans="1:17" ht="15.6" x14ac:dyDescent="0.3">
      <c r="A33" s="43" t="s">
        <v>5</v>
      </c>
      <c r="B33" s="4" t="s">
        <v>53</v>
      </c>
      <c r="C33" s="5" t="s">
        <v>42</v>
      </c>
      <c r="D33" s="6">
        <f>'[16]Simpulan dan Hasil'!$G$11</f>
        <v>73380217.966517478</v>
      </c>
      <c r="E33" s="6">
        <f>'[16]Simpulan dan Hasil'!$G$21</f>
        <v>4827.6459188498338</v>
      </c>
      <c r="F33" s="9"/>
      <c r="G33" s="6">
        <f>'[16]Simpulan dan Hasil'!$G$25</f>
        <v>6410658.8947575996</v>
      </c>
      <c r="H33" s="6">
        <f>'[16]Simpulan dan Hasil'!$G$12</f>
        <v>190479.90481081512</v>
      </c>
      <c r="I33" s="8">
        <v>25</v>
      </c>
      <c r="L33" s="40"/>
      <c r="M33" s="40" t="s">
        <v>77</v>
      </c>
      <c r="N33" s="40"/>
      <c r="O33" s="40"/>
      <c r="P33" s="40"/>
      <c r="Q33" s="40"/>
    </row>
    <row r="34" spans="1:17" ht="15.6" x14ac:dyDescent="0.3">
      <c r="A34" s="43" t="s">
        <v>5</v>
      </c>
      <c r="B34" s="25" t="s">
        <v>54</v>
      </c>
      <c r="C34" s="24" t="s">
        <v>55</v>
      </c>
      <c r="D34" s="11">
        <f>[17]Simpulan!$G$10</f>
        <v>67264191.623538733</v>
      </c>
      <c r="E34" s="11">
        <f>[17]Simpulan!$G$11</f>
        <v>4425.2757647064955</v>
      </c>
      <c r="F34" s="9"/>
      <c r="G34" s="11">
        <f>[17]Simpulan!$G$12</f>
        <v>5529889.1322988421</v>
      </c>
      <c r="H34" s="11">
        <f>[17]Simpulan!$G$13</f>
        <v>296485.94806118822</v>
      </c>
      <c r="I34" s="26">
        <f>I27</f>
        <v>1</v>
      </c>
      <c r="L34" s="40" t="s">
        <v>94</v>
      </c>
      <c r="M34" s="40" t="s">
        <v>76</v>
      </c>
      <c r="N34" s="40">
        <v>49918256.829225406</v>
      </c>
      <c r="O34" s="40">
        <v>3284.0958440279874</v>
      </c>
      <c r="P34" s="40"/>
      <c r="Q34" s="40">
        <v>5550193.163800532</v>
      </c>
    </row>
    <row r="35" spans="1:17" ht="15.6" x14ac:dyDescent="0.3">
      <c r="A35" s="44" t="s">
        <v>98</v>
      </c>
      <c r="B35" s="12" t="s">
        <v>56</v>
      </c>
      <c r="C35" s="5" t="s">
        <v>57</v>
      </c>
      <c r="D35" s="13">
        <f>'[18]Simpulan dan Hasil'!$G$11</f>
        <v>182394649.5113216</v>
      </c>
      <c r="E35" s="13">
        <f>'[18]Simpulan dan Hasil'!$G$21</f>
        <v>11999.647994165894</v>
      </c>
      <c r="F35" s="9"/>
      <c r="G35" s="13">
        <f>'[18]Simpulan dan Hasil'!$G$25</f>
        <v>14994935.132308226</v>
      </c>
      <c r="H35" s="13">
        <f>'[18]Simpulan dan Hasil'!$G$12</f>
        <v>120457.07277187245</v>
      </c>
      <c r="I35" s="14">
        <v>30</v>
      </c>
      <c r="L35" s="40"/>
      <c r="M35" s="40" t="s">
        <v>77</v>
      </c>
      <c r="N35" s="40"/>
      <c r="O35" s="40"/>
      <c r="P35" s="40"/>
      <c r="Q35" s="40"/>
    </row>
    <row r="36" spans="1:17" x14ac:dyDescent="0.3">
      <c r="A36" s="44"/>
      <c r="B36" s="12"/>
      <c r="C36" s="22" t="s">
        <v>58</v>
      </c>
      <c r="D36" s="13"/>
      <c r="E36" s="13"/>
      <c r="F36" s="9"/>
      <c r="G36" s="13"/>
      <c r="H36" s="13"/>
      <c r="I36" s="14"/>
      <c r="L36" s="40" t="s">
        <v>95</v>
      </c>
      <c r="M36" s="40" t="s">
        <v>76</v>
      </c>
      <c r="N36" s="40">
        <v>88302049.910240561</v>
      </c>
      <c r="O36" s="40">
        <v>5809.3453888316162</v>
      </c>
      <c r="P36" s="40"/>
      <c r="Q36" s="40">
        <v>7259442.7194077978</v>
      </c>
    </row>
    <row r="37" spans="1:17" x14ac:dyDescent="0.3">
      <c r="A37" s="44"/>
      <c r="B37" s="12"/>
      <c r="C37" s="22" t="s">
        <v>59</v>
      </c>
      <c r="D37" s="13"/>
      <c r="E37" s="13"/>
      <c r="F37" s="9"/>
      <c r="G37" s="13"/>
      <c r="H37" s="13"/>
      <c r="I37" s="14"/>
      <c r="L37" s="40"/>
      <c r="M37" s="40" t="s">
        <v>77</v>
      </c>
      <c r="N37" s="40"/>
      <c r="O37" s="40"/>
      <c r="P37" s="40"/>
      <c r="Q37" s="40"/>
    </row>
    <row r="38" spans="1:17" x14ac:dyDescent="0.3">
      <c r="A38" s="44"/>
      <c r="B38" s="12"/>
      <c r="C38" s="22" t="s">
        <v>60</v>
      </c>
      <c r="D38" s="13"/>
      <c r="E38" s="13"/>
      <c r="F38" s="9"/>
      <c r="G38" s="13"/>
      <c r="H38" s="13"/>
      <c r="I38" s="14"/>
      <c r="L38" s="40" t="s">
        <v>55</v>
      </c>
      <c r="M38" s="40" t="s">
        <v>76</v>
      </c>
      <c r="N38" s="40">
        <v>67264191.623538733</v>
      </c>
      <c r="O38" s="40">
        <v>4425.2757647064955</v>
      </c>
      <c r="P38" s="40">
        <v>0</v>
      </c>
      <c r="Q38" s="40">
        <v>5529889.1322988421</v>
      </c>
    </row>
    <row r="39" spans="1:17" ht="31.2" x14ac:dyDescent="0.3">
      <c r="A39" s="44" t="s">
        <v>6</v>
      </c>
      <c r="B39" s="12" t="s">
        <v>61</v>
      </c>
      <c r="C39" s="5" t="s">
        <v>44</v>
      </c>
      <c r="D39" s="13">
        <f>'[19]Simpulan dan Hasil'!$G$11</f>
        <v>70681514.872581393</v>
      </c>
      <c r="E39" s="13">
        <f>'[19]Simpulan dan Hasil'!$G$21</f>
        <v>4650.0996626698288</v>
      </c>
      <c r="F39" s="23">
        <f>[2]Sulsel!$D$10</f>
        <v>20355</v>
      </c>
      <c r="G39" s="13">
        <f>'[19]Simpulan dan Hasil'!$G$25</f>
        <v>5810832.3539493363</v>
      </c>
      <c r="H39" s="13">
        <f>'[19]Simpulan dan Hasil'!$G$12</f>
        <v>151197.09506560361</v>
      </c>
      <c r="I39" s="13">
        <v>30</v>
      </c>
      <c r="L39" s="40"/>
      <c r="M39" s="40" t="s">
        <v>77</v>
      </c>
      <c r="N39" s="40">
        <v>77226419.513139293</v>
      </c>
      <c r="O39" s="40">
        <v>5080.6854942854798</v>
      </c>
      <c r="P39" s="40"/>
      <c r="Q39" s="40">
        <v>6348898.6886540558</v>
      </c>
    </row>
    <row r="40" spans="1:17" x14ac:dyDescent="0.3">
      <c r="A40" s="44"/>
      <c r="B40" s="12"/>
      <c r="C40" s="22" t="s">
        <v>62</v>
      </c>
      <c r="D40" s="13"/>
      <c r="E40" s="13"/>
      <c r="F40" s="23"/>
      <c r="G40" s="13"/>
      <c r="H40" s="13"/>
      <c r="I40" s="13"/>
      <c r="L40" s="40" t="s">
        <v>96</v>
      </c>
      <c r="M40" s="40" t="s">
        <v>76</v>
      </c>
      <c r="N40" s="40">
        <v>27804359.410310242</v>
      </c>
      <c r="O40" s="40">
        <v>1829.2341717309371</v>
      </c>
      <c r="P40" s="40"/>
      <c r="Q40" s="40">
        <v>2285837.6979260379</v>
      </c>
    </row>
    <row r="41" spans="1:17" ht="28.8" x14ac:dyDescent="0.3">
      <c r="A41" s="44"/>
      <c r="B41" s="12"/>
      <c r="C41" s="15" t="s">
        <v>23</v>
      </c>
      <c r="D41" s="13"/>
      <c r="E41" s="13"/>
      <c r="F41" s="23"/>
      <c r="G41" s="13"/>
      <c r="H41" s="13"/>
      <c r="I41" s="13"/>
      <c r="L41" s="40"/>
      <c r="M41" s="40" t="s">
        <v>77</v>
      </c>
      <c r="N41" s="40">
        <v>28368307.376692172</v>
      </c>
      <c r="O41" s="40">
        <v>1866.3360116244851</v>
      </c>
      <c r="P41" s="40"/>
      <c r="Q41" s="40">
        <v>2332200.6981376712</v>
      </c>
    </row>
    <row r="42" spans="1:17" x14ac:dyDescent="0.3">
      <c r="A42" s="44" t="s">
        <v>8</v>
      </c>
      <c r="B42" s="27" t="s">
        <v>63</v>
      </c>
      <c r="C42" s="28" t="s">
        <v>64</v>
      </c>
      <c r="D42" s="29">
        <f>'[20]Simpulan dan Hasil'!$G$12</f>
        <v>88038854.064719588</v>
      </c>
      <c r="E42" s="29">
        <f>'[20]Simpulan dan Hasil'!$G$13</f>
        <v>5792.0298726789206</v>
      </c>
      <c r="F42" s="7"/>
      <c r="G42" s="29">
        <f>'[20]Simpulan dan Hasil'!$G$14</f>
        <v>21586965.7624125</v>
      </c>
      <c r="H42" s="29">
        <f>'[20]Simpulan dan Hasil'!$G$15</f>
        <v>159142.29207627074</v>
      </c>
      <c r="I42" s="30">
        <v>5</v>
      </c>
      <c r="L42" s="40" t="s">
        <v>32</v>
      </c>
      <c r="M42" s="40" t="s">
        <v>76</v>
      </c>
      <c r="N42" s="40">
        <v>21433423.12935967</v>
      </c>
      <c r="O42" s="40">
        <v>8</v>
      </c>
      <c r="P42" s="40">
        <v>0</v>
      </c>
      <c r="Q42" s="40">
        <v>2727345.6727482486</v>
      </c>
    </row>
    <row r="43" spans="1:17" x14ac:dyDescent="0.3">
      <c r="A43" s="44"/>
      <c r="B43" s="27"/>
      <c r="C43" s="28" t="s">
        <v>65</v>
      </c>
      <c r="D43" s="30"/>
      <c r="E43" s="30"/>
      <c r="F43" s="7"/>
      <c r="G43" s="30"/>
      <c r="H43" s="30"/>
      <c r="I43" s="30"/>
      <c r="L43" s="40"/>
      <c r="M43" s="40" t="s">
        <v>77</v>
      </c>
      <c r="N43" s="40"/>
      <c r="O43" s="40"/>
      <c r="P43" s="40"/>
      <c r="Q43" s="40"/>
    </row>
    <row r="44" spans="1:17" x14ac:dyDescent="0.3">
      <c r="A44" s="44"/>
      <c r="B44" s="27"/>
      <c r="C44" s="28" t="s">
        <v>66</v>
      </c>
      <c r="D44" s="30"/>
      <c r="E44" s="30"/>
      <c r="F44" s="7"/>
      <c r="G44" s="30"/>
      <c r="H44" s="30"/>
      <c r="I44" s="30"/>
      <c r="L44" s="40" t="s">
        <v>63</v>
      </c>
      <c r="M44" s="40" t="s">
        <v>76</v>
      </c>
      <c r="N44" s="40">
        <v>88038854.064719588</v>
      </c>
      <c r="O44" s="40">
        <v>5792.0298726789206</v>
      </c>
      <c r="P44" s="40">
        <v>0</v>
      </c>
      <c r="Q44" s="40">
        <v>21586965.7624125</v>
      </c>
    </row>
    <row r="45" spans="1:17" ht="43.2" x14ac:dyDescent="0.3">
      <c r="A45" s="43" t="s">
        <v>7</v>
      </c>
      <c r="B45" s="31" t="s">
        <v>67</v>
      </c>
      <c r="C45" s="32" t="s">
        <v>68</v>
      </c>
      <c r="D45" s="33">
        <f>'[21]Simpulan dan Hasil'!$G$11</f>
        <v>-354203159.786789</v>
      </c>
      <c r="E45" s="33">
        <f>'[21]Simpulan dan Hasil'!$G$12</f>
        <v>-23302.839459657171</v>
      </c>
      <c r="F45" s="34">
        <f>[2]Sulsel!$D$7</f>
        <v>953</v>
      </c>
      <c r="G45" s="33">
        <f>'[21]Simpulan dan Hasil'!$G$13</f>
        <v>-29119568.02949873</v>
      </c>
      <c r="H45" s="33">
        <f>'[21]Simpulan dan Hasil'!$G$14</f>
        <v>-232866.34711218637</v>
      </c>
      <c r="I45" s="35">
        <v>30</v>
      </c>
      <c r="L45" s="40"/>
      <c r="M45" s="40" t="s">
        <v>77</v>
      </c>
      <c r="N45" s="40"/>
      <c r="O45" s="40"/>
      <c r="P45" s="40"/>
      <c r="Q45" s="40"/>
    </row>
    <row r="46" spans="1:17" ht="28.8" x14ac:dyDescent="0.3">
      <c r="A46" s="43"/>
      <c r="B46" s="36" t="s">
        <v>69</v>
      </c>
      <c r="C46" s="37" t="s">
        <v>70</v>
      </c>
      <c r="D46" s="9"/>
      <c r="E46" s="9"/>
      <c r="F46" s="23">
        <f>[2]Sulsel!$D$8</f>
        <v>10506</v>
      </c>
      <c r="G46" s="9"/>
      <c r="H46" s="9"/>
      <c r="I46" s="9"/>
      <c r="L46" s="40" t="s">
        <v>97</v>
      </c>
      <c r="M46" s="40" t="s">
        <v>76</v>
      </c>
      <c r="N46" s="40">
        <v>-354203159.786789</v>
      </c>
      <c r="O46" s="40">
        <v>-23302.839459657171</v>
      </c>
      <c r="P46" s="40">
        <v>953</v>
      </c>
      <c r="Q46" s="40">
        <v>-29119568.02949873</v>
      </c>
    </row>
    <row r="47" spans="1:17" ht="28.8" x14ac:dyDescent="0.3">
      <c r="A47" s="43" t="s">
        <v>6</v>
      </c>
      <c r="B47" s="28" t="s">
        <v>71</v>
      </c>
      <c r="C47" s="38" t="s">
        <v>70</v>
      </c>
      <c r="D47" s="9"/>
      <c r="E47" s="9"/>
      <c r="F47" s="23">
        <f>[2]Sulsel!$D$2</f>
        <v>10188</v>
      </c>
      <c r="G47" s="9"/>
      <c r="H47" s="9"/>
      <c r="I47" s="9"/>
      <c r="L47" s="40"/>
      <c r="M47" s="40" t="s">
        <v>77</v>
      </c>
      <c r="N47" s="40"/>
      <c r="O47" s="40"/>
      <c r="P47" s="40"/>
      <c r="Q47" s="40"/>
    </row>
    <row r="48" spans="1:17" ht="28.8" x14ac:dyDescent="0.3">
      <c r="A48" s="43" t="s">
        <v>6</v>
      </c>
      <c r="B48" s="28" t="s">
        <v>72</v>
      </c>
      <c r="C48" s="38" t="s">
        <v>70</v>
      </c>
      <c r="D48" s="9"/>
      <c r="E48" s="9"/>
      <c r="F48" s="9"/>
      <c r="G48" s="9"/>
      <c r="H48" s="9"/>
      <c r="I48" s="9"/>
    </row>
  </sheetData>
  <mergeCells count="54">
    <mergeCell ref="A42:A44"/>
    <mergeCell ref="A10:A15"/>
    <mergeCell ref="A18:A21"/>
    <mergeCell ref="A22:A26"/>
    <mergeCell ref="A28:A32"/>
    <mergeCell ref="A35:A38"/>
    <mergeCell ref="A39:A41"/>
    <mergeCell ref="B42:B44"/>
    <mergeCell ref="D42:D44"/>
    <mergeCell ref="E42:E44"/>
    <mergeCell ref="G42:G44"/>
    <mergeCell ref="H42:H44"/>
    <mergeCell ref="I42:I44"/>
    <mergeCell ref="B39:B41"/>
    <mergeCell ref="D39:D41"/>
    <mergeCell ref="E39:E41"/>
    <mergeCell ref="G39:G41"/>
    <mergeCell ref="H39:H41"/>
    <mergeCell ref="I39:I41"/>
    <mergeCell ref="B35:B38"/>
    <mergeCell ref="D35:D38"/>
    <mergeCell ref="E35:E38"/>
    <mergeCell ref="G35:G38"/>
    <mergeCell ref="H35:H38"/>
    <mergeCell ref="I35:I38"/>
    <mergeCell ref="B28:B32"/>
    <mergeCell ref="D28:D32"/>
    <mergeCell ref="E28:E32"/>
    <mergeCell ref="G28:G32"/>
    <mergeCell ref="H28:H32"/>
    <mergeCell ref="I28:I32"/>
    <mergeCell ref="B22:B26"/>
    <mergeCell ref="D22:D26"/>
    <mergeCell ref="E22:E26"/>
    <mergeCell ref="G22:G26"/>
    <mergeCell ref="H22:H26"/>
    <mergeCell ref="I22:I26"/>
    <mergeCell ref="I10:I15"/>
    <mergeCell ref="B18:B21"/>
    <mergeCell ref="D18:D21"/>
    <mergeCell ref="E18:E21"/>
    <mergeCell ref="G18:G21"/>
    <mergeCell ref="H18:H21"/>
    <mergeCell ref="I18:I21"/>
    <mergeCell ref="B1:B2"/>
    <mergeCell ref="C1:C2"/>
    <mergeCell ref="D1:G1"/>
    <mergeCell ref="H1:H2"/>
    <mergeCell ref="I1:I2"/>
    <mergeCell ref="B10:B15"/>
    <mergeCell ref="D10:D15"/>
    <mergeCell ref="E10:E15"/>
    <mergeCell ref="G10:G15"/>
    <mergeCell ref="H10:H15"/>
  </mergeCells>
  <pageMargins left="0.7" right="0.7" top="0.75" bottom="0.75" header="0.3" footer="0.3"/>
  <pageSetup paperSize="9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5E218C999B646B1755D8814898253" ma:contentTypeVersion="9" ma:contentTypeDescription="Create a new document." ma:contentTypeScope="" ma:versionID="ed93a9ae93d2810ff4dbf6429e431c85">
  <xsd:schema xmlns:xsd="http://www.w3.org/2001/XMLSchema" xmlns:xs="http://www.w3.org/2001/XMLSchema" xmlns:p="http://schemas.microsoft.com/office/2006/metadata/properties" xmlns:ns2="7494f845-e0b4-4c45-ac13-d6827d6e6dfe" xmlns:ns3="572a4f64-479e-4eaa-a20e-54b0c6adac08" xmlns:ns4="a5ffdea9-971c-4ae9-a0d0-f498e12c87d2" xmlns:ns5="04a1e114-85b7-496f-a64d-e2fc89637e58" targetNamespace="http://schemas.microsoft.com/office/2006/metadata/properties" ma:root="true" ma:fieldsID="e86dc0e30cda0d082e32b558886c37b5" ns2:_="" ns3:_="" ns4:_="" ns5:_="">
    <xsd:import namespace="7494f845-e0b4-4c45-ac13-d6827d6e6dfe"/>
    <xsd:import namespace="572a4f64-479e-4eaa-a20e-54b0c6adac08"/>
    <xsd:import namespace="a5ffdea9-971c-4ae9-a0d0-f498e12c87d2"/>
    <xsd:import namespace="04a1e114-85b7-496f-a64d-e2fc89637e5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4:MediaServiceMetadata" minOccurs="0"/>
                <xsd:element ref="ns4:MediaServiceFastMetadata" minOccurs="0"/>
                <xsd:element ref="ns5:SharedWithUsers" minOccurs="0"/>
                <xsd:element ref="ns5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4f845-e0b4-4c45-ac13-d6827d6e6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a4f64-479e-4eaa-a20e-54b0c6adac08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5bacfaa-ea07-4107-843d-96757401b623}" ma:internalName="TaxCatchAll" ma:showField="CatchAllData" ma:web="572a4f64-479e-4eaa-a20e-54b0c6a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fdea9-971c-4ae9-a0d0-f498e12c87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1e114-85b7-496f-a64d-e2fc89637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4f845-e0b4-4c45-ac13-d6827d6e6dfe">
      <Terms xmlns="http://schemas.microsoft.com/office/infopath/2007/PartnerControls"/>
    </lcf76f155ced4ddcb4097134ff3c332f>
    <TaxCatchAll xmlns="572a4f64-479e-4eaa-a20e-54b0c6adac08"/>
  </documentManagement>
</p:properties>
</file>

<file path=customXml/itemProps1.xml><?xml version="1.0" encoding="utf-8"?>
<ds:datastoreItem xmlns:ds="http://schemas.openxmlformats.org/officeDocument/2006/customXml" ds:itemID="{8591A956-8B30-4B75-92E7-EAB7546B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4f845-e0b4-4c45-ac13-d6827d6e6dfe"/>
    <ds:schemaRef ds:uri="572a4f64-479e-4eaa-a20e-54b0c6adac08"/>
    <ds:schemaRef ds:uri="a5ffdea9-971c-4ae9-a0d0-f498e12c87d2"/>
    <ds:schemaRef ds:uri="04a1e114-85b7-496f-a64d-e2fc89637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E0C60E-4F32-4CB7-BBD0-5C759972B6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D94A8-0DF3-4372-8BE5-AF746E313CB5}">
  <ds:schemaRefs>
    <ds:schemaRef ds:uri="http://purl.org/dc/terms/"/>
    <ds:schemaRef ds:uri="http://schemas.openxmlformats.org/package/2006/metadata/core-properties"/>
    <ds:schemaRef ds:uri="a5ffdea9-971c-4ae9-a0d0-f498e12c87d2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04a1e114-85b7-496f-a64d-e2fc89637e58"/>
    <ds:schemaRef ds:uri="572a4f64-479e-4eaa-a20e-54b0c6adac08"/>
    <ds:schemaRef ds:uri="7494f845-e0b4-4c45-ac13-d6827d6e6df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Acuan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Karimah, Yumna</dc:creator>
  <cp:lastModifiedBy>Karimah, Yumna</cp:lastModifiedBy>
  <dcterms:created xsi:type="dcterms:W3CDTF">2025-09-15T06:37:46Z</dcterms:created>
  <dcterms:modified xsi:type="dcterms:W3CDTF">2025-09-15T07:09:35Z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0x010100FBF5E218C999B646B1755D8814898253</vt:lpwstr>
  </property>
</Properties>
</file>